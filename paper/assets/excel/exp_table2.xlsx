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X\Downloads\T-ITS论文\"/>
    </mc:Choice>
  </mc:AlternateContent>
  <xr:revisionPtr revIDLastSave="0" documentId="13_ncr:1_{D9F99C62-AA08-483D-A892-DA0E2A18A5DB}" xr6:coauthVersionLast="47" xr6:coauthVersionMax="47" xr10:uidLastSave="{00000000-0000-0000-0000-000000000000}"/>
  <bookViews>
    <workbookView xWindow="21915" yWindow="4395" windowWidth="16230" windowHeight="15345" xr2:uid="{00000000-000D-0000-FFFF-FFFF00000000}"/>
  </bookViews>
  <sheets>
    <sheet name="Experiment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1" l="1"/>
  <c r="D12" i="1"/>
  <c r="D11" i="1"/>
</calcChain>
</file>

<file path=xl/sharedStrings.xml><?xml version="1.0" encoding="utf-8"?>
<sst xmlns="http://schemas.openxmlformats.org/spreadsheetml/2006/main" count="24" uniqueCount="24">
  <si>
    <t>Experiment 2: Motion Estimation Benchmark</t>
  </si>
  <si>
    <t>Fill yellow cells from [Motion Benchmark] terminal output or motion_benchmark_report.json.</t>
  </si>
  <si>
    <t>Run Info (optional)</t>
  </si>
  <si>
    <t>Dataset</t>
  </si>
  <si>
    <t>Sequence</t>
  </si>
  <si>
    <t>Start / Duration / FPS</t>
  </si>
  <si>
    <t>Benchmark Figure Path</t>
  </si>
  <si>
    <t>Method</t>
  </si>
  <si>
    <t>Runtime (s)</t>
  </si>
  <si>
    <t>Time / Pair (ms)</t>
  </si>
  <si>
    <t>Relative Cost vs PC</t>
  </si>
  <si>
    <t>Valid Output (%)</t>
  </si>
  <si>
    <t>Phase Correlation (PC)</t>
  </si>
  <si>
    <t>ORB Feature Tracking</t>
  </si>
  <si>
    <t>Farneback Optical Flow (OF)</t>
  </si>
  <si>
    <t>Note</t>
  </si>
  <si>
    <t>This table is designed for the paper's single-column runtime comparison. Use the benchmark overview figure for qualitative segmentation / ORB failure evidence.</t>
  </si>
  <si>
    <t>Recommended caption</t>
  </si>
  <si>
    <t>Runtime comparison of motion estimation methods on a representative challenging sequence. Relative cost is normalized by PC.</t>
  </si>
  <si>
    <t>Formula</t>
  </si>
  <si>
    <t>Relative Cost vs PC = method runtime / PC runtime</t>
  </si>
  <si>
    <t>gdut</t>
    <phoneticPr fontId="5" type="noConversion"/>
  </si>
  <si>
    <t>2026-04-14-16-20-42</t>
  </si>
  <si>
    <t>/data/hx/ExpHub/artifacts/infer/gdut/2026-04-14-16-20-42/lora_fps24_dur40_start50/encode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</si>
</sst>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\x"/>
    <numFmt numFmtId="177" formatCode="0.0%"/>
  </numFmts>
  <fonts count="6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D9EAD3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244062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3">
    <xf numFmtId="0" fontId="0" fillId="0" borderId="0" xfId="0"/>
    <xf numFmtId="0" fontId="1" fillId="2" borderId="0" xfId="1" applyFont="1" applyFill="1"/>
    <xf numFmtId="0" fontId="0" fillId="3" borderId="0" xfId="1" applyFont="1" applyFill="1" applyAlignment="1">
      <alignment wrapText="1"/>
    </xf>
    <xf numFmtId="0" fontId="2" fillId="4" borderId="0" xfId="1" applyFont="1" applyFill="1"/>
    <xf numFmtId="0" fontId="2" fillId="5" borderId="0" xfId="1" applyFont="1" applyFill="1"/>
    <xf numFmtId="0" fontId="0" fillId="6" borderId="0" xfId="1" applyFont="1" applyFill="1"/>
    <xf numFmtId="0" fontId="3" fillId="7" borderId="0" xfId="1" applyFont="1" applyFill="1"/>
    <xf numFmtId="0" fontId="2" fillId="3" borderId="0" xfId="1" applyFont="1" applyFill="1"/>
    <xf numFmtId="2" fontId="0" fillId="6" borderId="0" xfId="1" applyNumberFormat="1" applyFont="1" applyFill="1"/>
    <xf numFmtId="176" fontId="0" fillId="5" borderId="0" xfId="1" applyNumberFormat="1" applyFont="1" applyFill="1"/>
    <xf numFmtId="177" fontId="0" fillId="6" borderId="0" xfId="1" applyNumberFormat="1" applyFont="1" applyFill="1"/>
    <xf numFmtId="0" fontId="2" fillId="8" borderId="0" xfId="1" applyFont="1" applyFill="1"/>
    <xf numFmtId="0" fontId="0" fillId="6" borderId="0" xfId="1" applyFont="1" applyFill="1" applyAlignment="1">
      <alignment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B28" sqref="B28"/>
    </sheetView>
  </sheetViews>
  <sheetFormatPr defaultRowHeight="14.25"/>
  <cols>
    <col min="1" max="1" width="63.875" customWidth="1"/>
    <col min="2" max="5" width="18.75" customWidth="1"/>
  </cols>
  <sheetData>
    <row r="1" spans="1:5" ht="13.5" customHeight="1">
      <c r="A1" s="1" t="s">
        <v>0</v>
      </c>
      <c r="B1" s="1"/>
      <c r="C1" s="1"/>
      <c r="D1" s="1"/>
      <c r="E1" s="1"/>
    </row>
    <row r="2" spans="1:5" ht="13.5" customHeight="1">
      <c r="A2" s="2" t="s">
        <v>1</v>
      </c>
      <c r="B2" s="2"/>
      <c r="C2" s="2"/>
      <c r="D2" s="2"/>
      <c r="E2" s="2"/>
    </row>
    <row r="3" spans="1:5" ht="13.5" customHeight="1"/>
    <row r="4" spans="1:5" ht="13.5" customHeight="1">
      <c r="A4" s="3" t="s">
        <v>2</v>
      </c>
      <c r="B4" s="3"/>
      <c r="C4" s="3"/>
      <c r="D4" s="3"/>
      <c r="E4" s="3"/>
    </row>
    <row r="5" spans="1:5" ht="13.5" customHeight="1">
      <c r="A5" s="4" t="s">
        <v>3</v>
      </c>
      <c r="B5" s="5" t="s">
        <v>21</v>
      </c>
      <c r="C5" s="5"/>
      <c r="D5" s="5"/>
      <c r="E5" s="5"/>
    </row>
    <row r="6" spans="1:5" ht="13.5" customHeight="1">
      <c r="A6" s="4" t="s">
        <v>4</v>
      </c>
      <c r="B6" s="5" t="s">
        <v>22</v>
      </c>
      <c r="C6" s="5"/>
      <c r="D6" s="5"/>
      <c r="E6" s="5"/>
    </row>
    <row r="7" spans="1:5" ht="13.5" customHeight="1">
      <c r="A7" s="4" t="s">
        <v>5</v>
      </c>
      <c r="B7" s="5">
        <v>50</v>
      </c>
      <c r="C7" s="5">
        <v>40</v>
      </c>
      <c r="D7" s="5">
        <v>24</v>
      </c>
      <c r="E7" s="5"/>
    </row>
    <row r="8" spans="1:5" ht="13.5" customHeight="1">
      <c r="A8" s="4" t="s">
        <v>6</v>
      </c>
      <c r="B8" s="5" t="s">
        <v>23</v>
      </c>
      <c r="C8" s="5"/>
      <c r="D8" s="5"/>
      <c r="E8" s="5"/>
    </row>
    <row r="9" spans="1:5" ht="13.5" customHeight="1"/>
    <row r="10" spans="1:5" ht="13.5" customHeight="1">
      <c r="A10" s="6" t="s">
        <v>7</v>
      </c>
      <c r="B10" s="6" t="s">
        <v>8</v>
      </c>
      <c r="C10" s="6" t="s">
        <v>9</v>
      </c>
      <c r="D10" s="6" t="s">
        <v>10</v>
      </c>
      <c r="E10" s="6" t="s">
        <v>11</v>
      </c>
    </row>
    <row r="11" spans="1:5" ht="13.5" customHeight="1">
      <c r="A11" s="7" t="s">
        <v>12</v>
      </c>
      <c r="B11" s="8">
        <v>4.5119999999999996</v>
      </c>
      <c r="C11" s="8">
        <v>4.7</v>
      </c>
      <c r="D11" s="9">
        <f>IF($B11="","",$B11/$B$11)</f>
        <v>1</v>
      </c>
      <c r="E11" s="10">
        <v>1</v>
      </c>
    </row>
    <row r="12" spans="1:5" ht="13.5" customHeight="1">
      <c r="A12" s="7" t="s">
        <v>13</v>
      </c>
      <c r="B12" s="8">
        <v>11.734</v>
      </c>
      <c r="C12" s="8">
        <v>12.223000000000001</v>
      </c>
      <c r="D12" s="9">
        <f>IF($B12="","",$B12/$B$11)</f>
        <v>2.6006205673758869</v>
      </c>
      <c r="E12" s="10">
        <v>0.85699999999999998</v>
      </c>
    </row>
    <row r="13" spans="1:5" ht="13.5" customHeight="1">
      <c r="A13" s="7" t="s">
        <v>14</v>
      </c>
      <c r="B13" s="8">
        <v>29.747</v>
      </c>
      <c r="C13" s="8">
        <v>30.986999999999998</v>
      </c>
      <c r="D13" s="9">
        <f>IF($B13="","",$B13/$B$11)</f>
        <v>6.5928634751773059</v>
      </c>
      <c r="E13" s="10">
        <v>1</v>
      </c>
    </row>
    <row r="14" spans="1:5" ht="13.5" customHeight="1"/>
    <row r="15" spans="1:5" ht="13.5" customHeight="1">
      <c r="A15" s="11" t="s">
        <v>15</v>
      </c>
      <c r="B15" s="12" t="s">
        <v>16</v>
      </c>
      <c r="C15" s="12"/>
      <c r="D15" s="12"/>
      <c r="E15" s="12"/>
    </row>
    <row r="16" spans="1:5" ht="13.5" customHeight="1">
      <c r="A16" s="11" t="s">
        <v>17</v>
      </c>
      <c r="B16" s="12" t="s">
        <v>18</v>
      </c>
      <c r="C16" s="12"/>
      <c r="D16" s="12"/>
      <c r="E16" s="12"/>
    </row>
    <row r="17" spans="1:5" ht="13.5" customHeight="1">
      <c r="A17" s="11" t="s">
        <v>19</v>
      </c>
      <c r="B17" s="12" t="s">
        <v>20</v>
      </c>
      <c r="C17" s="12"/>
      <c r="D17" s="12"/>
      <c r="E17" s="12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Experiment_2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翔 霍</cp:lastModifiedBy>
  <dcterms:modified xsi:type="dcterms:W3CDTF">2026-05-14T11:18:58Z</dcterms:modified>
</cp:coreProperties>
</file>