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29643\Desktop\"/>
    </mc:Choice>
  </mc:AlternateContent>
  <xr:revisionPtr revIDLastSave="0" documentId="13_ncr:1_{199BEB1D-2642-438A-BA74-5CC0B346420A}" xr6:coauthVersionLast="47" xr6:coauthVersionMax="47" xr10:uidLastSave="{00000000-0000-0000-0000-000000000000}"/>
  <bookViews>
    <workbookView xWindow="38280" yWindow="-2475" windowWidth="16440" windowHeight="28320" xr2:uid="{00000000-000D-0000-FFFF-FFFF00000000}"/>
  </bookViews>
  <sheets>
    <sheet name="Experimen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" i="1" l="1"/>
  <c r="I8" i="1"/>
  <c r="H8" i="1"/>
  <c r="G8" i="1"/>
  <c r="F8" i="1"/>
  <c r="E8" i="1"/>
  <c r="D8" i="1"/>
  <c r="C8" i="1"/>
  <c r="B8" i="1"/>
  <c r="K7" i="1"/>
  <c r="K6" i="1"/>
  <c r="J5" i="1"/>
  <c r="I5" i="1"/>
  <c r="H5" i="1"/>
  <c r="G5" i="1"/>
  <c r="F5" i="1"/>
  <c r="E5" i="1"/>
  <c r="D5" i="1"/>
  <c r="C5" i="1"/>
  <c r="B5" i="1"/>
  <c r="K4" i="1"/>
  <c r="K3" i="1"/>
  <c r="K2" i="1"/>
  <c r="K8" i="1" l="1"/>
  <c r="K5" i="1"/>
</calcChain>
</file>

<file path=xl/sharedStrings.xml><?xml version="1.0" encoding="utf-8"?>
<sst xmlns="http://schemas.openxmlformats.org/spreadsheetml/2006/main" count="19" uniqueCount="19">
  <si>
    <t>Metric</t>
  </si>
  <si>
    <t>NCD-1</t>
  </si>
  <si>
    <t>NCD-2</t>
  </si>
  <si>
    <t>NCD-3</t>
  </si>
  <si>
    <t>TUM-1</t>
  </si>
  <si>
    <t>TUM-2</t>
  </si>
  <si>
    <t>TUM-3</t>
  </si>
  <si>
    <t>GDUT-1</t>
  </si>
  <si>
    <t>GDUT-2</t>
  </si>
  <si>
    <t>GDUT-3</t>
  </si>
  <si>
    <t>Avg.</t>
  </si>
  <si>
    <t>GT Path Length (m)</t>
  </si>
  <si>
    <t>Raw Size (MiB)</t>
  </si>
  <si>
    <t>HVM Size (MiB)</t>
  </si>
  <si>
    <t>Reduction (%)</t>
  </si>
  <si>
    <t>ORI APE RMSE (Sim3, m)</t>
  </si>
  <si>
    <t>GEN APE RMSE (Sim3, m)</t>
  </si>
  <si>
    <t>ΔAPE RMSE (m)</t>
  </si>
  <si>
    <t>Fill only yellow cells. Reduction (%), ΔAPE RMSE, and Avg. are calculated automatically. This sheet is designed to match the paper table.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</si>
</sst>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.000"/>
  </numFmts>
  <fonts count="6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i/>
      <sz val="11"/>
      <color rgb="FF666666"/>
      <name val="Carlito"/>
    </font>
    <font>
      <sz val="11"/>
      <name val="Carlito"/>
    </font>
    <font>
      <sz val="9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E2F0D9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2">
    <xf numFmtId="0" fontId="0" fillId="0" borderId="0" xfId="0"/>
    <xf numFmtId="0" fontId="1" fillId="2" borderId="0" xfId="1" applyFont="1" applyFill="1" applyAlignment="1">
      <alignment horizontal="center" vertical="center"/>
    </xf>
    <xf numFmtId="0" fontId="2" fillId="3" borderId="0" xfId="1" applyFont="1" applyFill="1" applyAlignment="1">
      <alignment horizontal="left" vertical="center"/>
    </xf>
    <xf numFmtId="2" fontId="0" fillId="4" borderId="0" xfId="1" applyNumberFormat="1" applyFont="1" applyFill="1" applyAlignment="1">
      <alignment horizontal="center" vertical="center"/>
    </xf>
    <xf numFmtId="2" fontId="2" fillId="6" borderId="0" xfId="1" applyNumberFormat="1" applyFont="1" applyFill="1" applyAlignment="1">
      <alignment horizontal="center" vertical="center"/>
    </xf>
    <xf numFmtId="176" fontId="0" fillId="5" borderId="0" xfId="1" applyNumberFormat="1" applyFont="1" applyFill="1" applyAlignment="1">
      <alignment horizontal="center" vertical="center"/>
    </xf>
    <xf numFmtId="176" fontId="2" fillId="6" borderId="0" xfId="1" applyNumberFormat="1" applyFont="1" applyFill="1" applyAlignment="1">
      <alignment horizontal="center" vertical="center"/>
    </xf>
    <xf numFmtId="177" fontId="0" fillId="4" borderId="0" xfId="1" applyNumberFormat="1" applyFont="1" applyFill="1" applyAlignment="1">
      <alignment horizontal="center" vertical="center"/>
    </xf>
    <xf numFmtId="177" fontId="2" fillId="6" borderId="0" xfId="1" applyNumberFormat="1" applyFont="1" applyFill="1" applyAlignment="1">
      <alignment horizontal="center" vertical="center"/>
    </xf>
    <xf numFmtId="177" fontId="0" fillId="5" borderId="0" xfId="1" applyNumberFormat="1" applyFont="1" applyFill="1" applyAlignment="1">
      <alignment horizontal="center" vertical="center"/>
    </xf>
    <xf numFmtId="0" fontId="3" fillId="7" borderId="0" xfId="1" applyFont="1" applyFill="1" applyAlignment="1">
      <alignment wrapText="1"/>
    </xf>
    <xf numFmtId="0" fontId="0" fillId="7" borderId="0" xfId="1" applyFont="1" applyFill="1"/>
  </cellXfs>
  <cellStyles count="2">
    <cellStyle name="Normal" xfId="1" xr:uid="{00000000-0005-0000-0000-000000000000}"/>
    <cellStyle name="常规" xfId="0" builtinId="0"/>
  </cellStyles>
  <dxfs count="2">
    <dxf>
      <font>
        <color rgb="FF008000"/>
      </font>
    </dxf>
    <dxf>
      <font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G17" sqref="G17"/>
    </sheetView>
  </sheetViews>
  <sheetFormatPr defaultRowHeight="14"/>
  <cols>
    <col min="1" max="1" width="28" customWidth="1"/>
    <col min="2" max="11" width="12" customWidth="1"/>
  </cols>
  <sheetData>
    <row r="1" spans="1:11" ht="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3">
        <v>16.8</v>
      </c>
      <c r="C2" s="3">
        <v>42.74</v>
      </c>
      <c r="D2" s="3">
        <v>64.19</v>
      </c>
      <c r="E2" s="3">
        <v>2.72</v>
      </c>
      <c r="F2" s="3">
        <v>5.94</v>
      </c>
      <c r="G2" s="3">
        <v>12.68</v>
      </c>
      <c r="H2" s="3">
        <v>20.89</v>
      </c>
      <c r="I2" s="3">
        <v>41.22</v>
      </c>
      <c r="J2" s="3">
        <v>84.84</v>
      </c>
      <c r="K2" s="4">
        <f>IFERROR(AVERAGE(B2:J2),"")</f>
        <v>32.446666666666673</v>
      </c>
    </row>
    <row r="3" spans="1:11">
      <c r="A3" s="2" t="s">
        <v>12</v>
      </c>
      <c r="B3" s="3">
        <v>170.66</v>
      </c>
      <c r="C3" s="3">
        <v>259.48</v>
      </c>
      <c r="D3" s="3">
        <v>378.03</v>
      </c>
      <c r="E3" s="3">
        <v>130.88999999999999</v>
      </c>
      <c r="F3" s="3">
        <v>263.20999999999998</v>
      </c>
      <c r="G3" s="3">
        <v>518.74</v>
      </c>
      <c r="H3" s="3">
        <v>268.93</v>
      </c>
      <c r="I3" s="3">
        <v>547.54999999999995</v>
      </c>
      <c r="J3" s="3">
        <v>1093.29</v>
      </c>
      <c r="K3" s="4">
        <f>IFERROR(AVERAGE(B3:J3),"")</f>
        <v>403.41999999999996</v>
      </c>
    </row>
    <row r="4" spans="1:11">
      <c r="A4" s="2" t="s">
        <v>13</v>
      </c>
      <c r="B4" s="3">
        <v>4.99</v>
      </c>
      <c r="C4" s="3">
        <v>9.0399999999999991</v>
      </c>
      <c r="D4" s="3">
        <v>14.01</v>
      </c>
      <c r="E4" s="3">
        <v>5.94</v>
      </c>
      <c r="F4" s="3">
        <v>11</v>
      </c>
      <c r="G4" s="3">
        <v>21.25</v>
      </c>
      <c r="H4" s="3">
        <v>5.52</v>
      </c>
      <c r="I4" s="3">
        <v>10.81</v>
      </c>
      <c r="J4" s="3">
        <v>16.97</v>
      </c>
      <c r="K4" s="4">
        <f>IFERROR(AVERAGE(B4:J4),"")</f>
        <v>11.058888888888887</v>
      </c>
    </row>
    <row r="5" spans="1:11">
      <c r="A5" s="2" t="s">
        <v>14</v>
      </c>
      <c r="B5" s="5">
        <f>IFERROR((1-B4/B3)*100,"")</f>
        <v>97.076057658502293</v>
      </c>
      <c r="C5" s="5">
        <f>IFERROR((1-C4/C3)*100,"")</f>
        <v>96.516109141359635</v>
      </c>
      <c r="D5" s="5">
        <f>IFERROR((1-D4/D3)*100,"")</f>
        <v>96.293944925005945</v>
      </c>
      <c r="E5" s="5">
        <f t="shared" ref="E5:J5" si="0">IFERROR((1-E4/E3)*100,"")</f>
        <v>95.461838184735271</v>
      </c>
      <c r="F5" s="5">
        <f t="shared" si="0"/>
        <v>95.820827476159721</v>
      </c>
      <c r="G5" s="5">
        <f t="shared" si="0"/>
        <v>95.903535489840763</v>
      </c>
      <c r="H5" s="5">
        <f t="shared" si="0"/>
        <v>97.947421262038446</v>
      </c>
      <c r="I5" s="5">
        <f t="shared" si="0"/>
        <v>98.02575107296137</v>
      </c>
      <c r="J5" s="5">
        <f t="shared" si="0"/>
        <v>98.447804333708348</v>
      </c>
      <c r="K5" s="6">
        <f t="shared" ref="K5:K8" si="1">IFERROR(AVERAGE(B5:J5),"")</f>
        <v>96.832587727145764</v>
      </c>
    </row>
    <row r="6" spans="1:11">
      <c r="A6" s="2" t="s">
        <v>15</v>
      </c>
      <c r="B6" s="7">
        <v>7.0999999999999994E-2</v>
      </c>
      <c r="C6" s="7">
        <v>0.14199999999999999</v>
      </c>
      <c r="D6" s="7">
        <v>0.32</v>
      </c>
      <c r="E6" s="3">
        <v>0.14899999999999999</v>
      </c>
      <c r="F6" s="7">
        <v>0.224</v>
      </c>
      <c r="G6" s="7">
        <v>1.129</v>
      </c>
      <c r="H6" s="7">
        <v>0.35099999999999998</v>
      </c>
      <c r="I6" s="7">
        <v>1.994</v>
      </c>
      <c r="J6" s="7">
        <v>1.901</v>
      </c>
      <c r="K6" s="8">
        <f t="shared" si="1"/>
        <v>0.69788888888888889</v>
      </c>
    </row>
    <row r="7" spans="1:11">
      <c r="A7" s="2" t="s">
        <v>16</v>
      </c>
      <c r="B7" s="7">
        <v>0.10199999999999999</v>
      </c>
      <c r="C7" s="7">
        <v>0.28599999999999998</v>
      </c>
      <c r="D7" s="7">
        <v>0.58499999999999996</v>
      </c>
      <c r="E7" s="3">
        <v>0.223</v>
      </c>
      <c r="F7" s="7">
        <v>0.187</v>
      </c>
      <c r="G7" s="7">
        <v>1.0620000000000001</v>
      </c>
      <c r="H7" s="7">
        <v>0.45400000000000001</v>
      </c>
      <c r="I7" s="7">
        <v>1.1619999999999999</v>
      </c>
      <c r="J7" s="7">
        <v>2.5529999999999999</v>
      </c>
      <c r="K7" s="8">
        <f t="shared" si="1"/>
        <v>0.73488888888888892</v>
      </c>
    </row>
    <row r="8" spans="1:11">
      <c r="A8" s="2" t="s">
        <v>17</v>
      </c>
      <c r="B8" s="9">
        <f t="shared" ref="B8:J8" si="2">IFERROR(B7-B6,"")</f>
        <v>3.1E-2</v>
      </c>
      <c r="C8" s="9">
        <f t="shared" si="2"/>
        <v>0.14399999999999999</v>
      </c>
      <c r="D8" s="9">
        <f t="shared" si="2"/>
        <v>0.26499999999999996</v>
      </c>
      <c r="E8" s="9">
        <f t="shared" si="2"/>
        <v>7.400000000000001E-2</v>
      </c>
      <c r="F8" s="9">
        <f t="shared" si="2"/>
        <v>-3.7000000000000005E-2</v>
      </c>
      <c r="G8" s="9">
        <f t="shared" si="2"/>
        <v>-6.6999999999999948E-2</v>
      </c>
      <c r="H8" s="9">
        <f t="shared" si="2"/>
        <v>0.10300000000000004</v>
      </c>
      <c r="I8" s="9">
        <f t="shared" si="2"/>
        <v>-0.83200000000000007</v>
      </c>
      <c r="J8" s="9">
        <f t="shared" si="2"/>
        <v>0.65199999999999991</v>
      </c>
      <c r="K8" s="8">
        <f t="shared" si="1"/>
        <v>3.6999999999999998E-2</v>
      </c>
    </row>
    <row r="10" spans="1:11" ht="21.4" customHeight="1">
      <c r="A10" s="10" t="s">
        <v>18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</sheetData>
  <mergeCells count="1">
    <mergeCell ref="A10:K10"/>
  </mergeCells>
  <phoneticPr fontId="5" type="noConversion"/>
  <conditionalFormatting sqref="B8:J8">
    <cfRule type="expression" dxfId="1" priority="1">
      <formula>B8&gt;0</formula>
    </cfRule>
    <cfRule type="expression" dxfId="0" priority="2">
      <formula>B8&lt;=0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Experiment1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翔 霍</cp:lastModifiedBy>
  <dcterms:modified xsi:type="dcterms:W3CDTF">2026-05-14T02:34:19Z</dcterms:modified>
</cp:coreProperties>
</file>