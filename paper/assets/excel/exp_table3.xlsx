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20" windowHeight="12570"/>
  </bookViews>
  <sheets>
    <sheet name="Exp3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<sst xmlns="http://schemas.openxmlformats.org/spreadsheetml/2006/main" count="25" uniqueCount="15">
  <si>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Experiment 3: LoRA Ablation for World-Model Decoder</t>
  </si>
  <si>
    <t>Fill Base/LoRA results from eval_summary.txt and decode/image_quality_report.json. Bold the better value in the final paper table after all experiments are finished.</t>
  </si>
  <si>
    <t>Dataset</t>
  </si>
  <si>
    <t>Decoder</t>
  </si>
  <si>
    <t>ORI APE RMSE (m) ↓</t>
  </si>
  <si>
    <t>GEN APE RMSE (m) ↓</t>
  </si>
  <si>
    <t>LPIPS ↓</t>
  </si>
  <si>
    <t>SSIM ↑</t>
  </si>
  <si>
    <t>FID ↓</t>
  </si>
  <si>
    <t>NCD</t>
  </si>
  <si>
    <t>Base</t>
  </si>
  <si>
    <t>LoRA</t>
  </si>
  <si>
    <t>TUM</t>
  </si>
  <si>
    <t>GDUT</t>
  </si>
  <si>
    <t>Avg.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</si>
</sst>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25">
    <font>
      <sz val="11"/>
      <name val="Carlito"/>
      <charset val="134"/>
    </font>
    <font>
      <b/>
      <sz val="14"/>
      <color rgb="FFFFFFFF"/>
      <name val="Carlito"/>
      <charset val="134"/>
    </font>
    <font>
      <i/>
      <sz val="11"/>
      <color rgb="FF404040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/>
    <xf numFmtId="0" fontId="1" fillId="2" borderId="0" xfId="49" applyFont="1" applyFill="1" applyAlignment="1">
      <alignment horizontal="center" vertical="center"/>
    </xf>
    <xf numFmtId="0" fontId="2" fillId="3" borderId="0" xfId="49" applyFont="1" applyFill="1" applyAlignment="1">
      <alignment horizontal="left" vertical="center" wrapText="1"/>
    </xf>
    <xf numFmtId="0" fontId="3" fillId="2" borderId="0" xfId="49" applyFont="1" applyFill="1" applyAlignment="1">
      <alignment horizontal="center" vertical="center" wrapText="1"/>
    </xf>
    <xf numFmtId="0" fontId="0" fillId="4" borderId="0" xfId="49" applyFill="1" applyAlignment="1">
      <alignment horizontal="center"/>
    </xf>
    <xf numFmtId="178" fontId="0" fillId="5" borderId="0" xfId="49" applyNumberFormat="1" applyFont="1" applyFill="1" applyAlignment="1">
      <alignment horizontal="center"/>
    </xf>
    <xf numFmtId="0" fontId="4" fillId="6" borderId="0" xfId="49" applyFont="1" applyFill="1" applyAlignment="1">
      <alignment horizontal="center"/>
    </xf>
    <xf numFmtId="178" fontId="4" fillId="6" borderId="0" xfId="49" applyNumberFormat="1" applyFon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zoomScale="115" zoomScaleNormal="115" workbookViewId="0">
      <selection activeCell="G15" sqref="G15"/>
    </sheetView>
  </sheetViews>
  <sheetFormatPr defaultColWidth="9" defaultRowHeight="15" outlineLevelCol="6"/>
  <cols>
    <col min="1" max="2" width="12" customWidth="1"/>
    <col min="3" max="4" width="23.125" customWidth="1"/>
    <col min="5" max="7" width="13" customWidth="1"/>
  </cols>
  <sheetData>
    <row r="1" ht="27.95" customHeight="1" spans="1:7">
      <c r="A1" s="1" t="s">
        <v>0</v>
      </c>
    </row>
    <row r="2" ht="32" customHeight="1" spans="1:7">
      <c r="A2" s="2" t="s">
        <v>1</v>
      </c>
    </row>
    <row r="4" ht="30" customHeight="1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>
      <c r="A5" s="4" t="s">
        <v>9</v>
      </c>
      <c r="B5" s="4" t="s">
        <v>10</v>
      </c>
      <c r="C5" s="5">
        <v>0.142</v>
      </c>
      <c r="D5" s="5">
        <v>0.539</v>
      </c>
      <c r="E5" s="5">
        <v>0.269525</v>
      </c>
      <c r="F5" s="5">
        <v>0.592557</v>
      </c>
      <c r="G5" s="5">
        <v>50.15107</v>
      </c>
    </row>
    <row r="6" spans="1:7">
      <c r="A6" s="4" t="s">
        <v>9</v>
      </c>
      <c r="B6" s="4" t="s">
        <v>11</v>
      </c>
      <c r="C6" s="5">
        <v>0.142</v>
      </c>
      <c r="D6" s="5">
        <v>0.289</v>
      </c>
      <c r="E6" s="5">
        <v>0.306506</v>
      </c>
      <c r="F6" s="5">
        <v>0.506946</v>
      </c>
      <c r="G6" s="5">
        <v>23.949745</v>
      </c>
    </row>
    <row r="7" spans="1:7">
      <c r="A7" s="4" t="s">
        <v>12</v>
      </c>
      <c r="B7" s="4" t="s">
        <v>10</v>
      </c>
      <c r="C7" s="5">
        <v>0.224</v>
      </c>
      <c r="D7" s="5">
        <v>0.32</v>
      </c>
      <c r="E7" s="5">
        <v>0.392253</v>
      </c>
      <c r="F7" s="5">
        <v>0.63375</v>
      </c>
      <c r="G7" s="5">
        <v>71.538712</v>
      </c>
    </row>
    <row r="8" spans="1:7">
      <c r="A8" s="4" t="s">
        <v>12</v>
      </c>
      <c r="B8" s="4" t="s">
        <v>11</v>
      </c>
      <c r="C8" s="5">
        <v>0.224</v>
      </c>
      <c r="D8" s="5">
        <v>0.224</v>
      </c>
      <c r="E8" s="5">
        <v>0.514071</v>
      </c>
      <c r="F8" s="5">
        <v>0.480121</v>
      </c>
      <c r="G8" s="5">
        <v>104.860939</v>
      </c>
    </row>
    <row r="9" spans="1:7">
      <c r="A9" s="4" t="s">
        <v>13</v>
      </c>
      <c r="B9" s="4" t="s">
        <v>10</v>
      </c>
      <c r="C9" s="5">
        <v>0.354</v>
      </c>
      <c r="D9" s="5">
        <v>0.968</v>
      </c>
      <c r="E9" s="5">
        <v>0.344557</v>
      </c>
      <c r="F9" s="5">
        <v>0.586844</v>
      </c>
      <c r="G9" s="5">
        <v>62.168674</v>
      </c>
    </row>
    <row r="10" spans="1:7">
      <c r="A10" s="4" t="s">
        <v>13</v>
      </c>
      <c r="B10" s="4" t="s">
        <v>11</v>
      </c>
      <c r="C10" s="5">
        <v>0.354</v>
      </c>
      <c r="D10" s="5">
        <v>0.451</v>
      </c>
      <c r="E10" s="5">
        <v>0.371947</v>
      </c>
      <c r="F10" s="5">
        <v>0.559043</v>
      </c>
      <c r="G10" s="5">
        <v>70.844902</v>
      </c>
    </row>
    <row r="11" spans="1:7">
      <c r="A11" s="6" t="s">
        <v>14</v>
      </c>
      <c r="B11" s="6" t="s">
        <v>10</v>
      </c>
      <c r="C11" s="7">
        <f>AVERAGE(C5,C7,C9)</f>
        <v>0.24</v>
      </c>
      <c r="D11" s="7">
        <f>AVERAGE(D5,D7,D9)</f>
        <v>0.609</v>
      </c>
      <c r="E11" s="7">
        <f t="shared" ref="E11:G12" si="0">AVERAGE(E5,E7,E9)</f>
        <v>0.335445</v>
      </c>
      <c r="F11" s="7">
        <f t="shared" si="0"/>
        <v>0.604383666666667</v>
      </c>
      <c r="G11" s="7">
        <f t="shared" si="0"/>
        <v>61.286152</v>
      </c>
    </row>
    <row r="12" spans="1:7">
      <c r="A12" s="6" t="s">
        <v>14</v>
      </c>
      <c r="B12" s="6" t="s">
        <v>11</v>
      </c>
      <c r="C12" s="7">
        <f>AVERAGE(C6,C8,C10)</f>
        <v>0.24</v>
      </c>
      <c r="D12" s="7">
        <f>AVERAGE(D6,D8,D10)</f>
        <v>0.321333333333333</v>
      </c>
      <c r="E12" s="7">
        <f t="shared" si="0"/>
        <v>0.397508</v>
      </c>
      <c r="F12" s="7">
        <f t="shared" si="0"/>
        <v>0.51537</v>
      </c>
      <c r="G12" s="7">
        <f t="shared" si="0"/>
        <v>66.551862</v>
      </c>
    </row>
  </sheetData>
  <mergeCells count="2">
    <mergeCell ref="A1:G1"/>
    <mergeCell ref="A2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Exp3_Table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hx</cp:lastModifiedBy>
  <dcterms:created xsi:type="dcterms:W3CDTF">2026-05-15T00:15:15Z</dcterms:created>
  <dcterms:modified xsi:type="dcterms:W3CDTF">2026-05-15T13:54:46Z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73732B232842A6CF8C81066AB4139397_42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